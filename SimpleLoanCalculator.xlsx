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hame\OneDrive\Source Code\Visual Studio .NET\FourSquare\"/>
    </mc:Choice>
  </mc:AlternateContent>
  <xr:revisionPtr revIDLastSave="0" documentId="11_9AFDA8BDCC7890181E30C8CC8B46AEBAB424FF8D" xr6:coauthVersionLast="41" xr6:coauthVersionMax="41" xr10:uidLastSave="{00000000-0000-0000-0000-000000000000}"/>
  <bookViews>
    <workbookView xWindow="390" yWindow="1080" windowWidth="21600" windowHeight="11385" tabRatio="672" xr2:uid="{00000000-000D-0000-FFFF-FFFF00000000}"/>
  </bookViews>
  <sheets>
    <sheet name="Solve for price" sheetId="1" r:id="rId1"/>
    <sheet name="Solve for interest rate" sheetId="2" r:id="rId2"/>
    <sheet name="Solve for payment" sheetId="3" r:id="rId3"/>
    <sheet name="Solve for number of pay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6" i="4"/>
  <c r="C6" i="4"/>
  <c r="C6" i="1"/>
  <c r="C10" i="1" s="1"/>
  <c r="C2" i="1" s="1"/>
  <c r="C6" i="3"/>
  <c r="C10" i="4"/>
  <c r="C8" i="4" s="1"/>
  <c r="A6" i="3"/>
  <c r="C10" i="3" s="1"/>
  <c r="C4" i="3" s="1"/>
  <c r="A6" i="2"/>
  <c r="C10" i="2" s="1"/>
  <c r="C6" i="2" s="1"/>
  <c r="D6" i="2" s="1"/>
</calcChain>
</file>

<file path=xl/sharedStrings.xml><?xml version="1.0" encoding="utf-8"?>
<sst xmlns="http://schemas.openxmlformats.org/spreadsheetml/2006/main" count="36" uniqueCount="9">
  <si>
    <t>Trade-in</t>
  </si>
  <si>
    <t>Price</t>
  </si>
  <si>
    <t>Down payment</t>
  </si>
  <si>
    <t>Payment</t>
  </si>
  <si>
    <t>Compensating balance</t>
  </si>
  <si>
    <t>Number of payments</t>
  </si>
  <si>
    <t>Present value</t>
  </si>
  <si>
    <t>APR</t>
  </si>
  <si>
    <t>Interest rate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</si>
</sst>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%"/>
    <numFmt numFmtId="165" formatCode="0.0000000%"/>
    <numFmt numFmtId="166" formatCode="0.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8" fontId="0" fillId="0" borderId="0" xfId="1" applyNumberFormat="1" applyFont="1"/>
    <xf numFmtId="165" fontId="0" fillId="0" borderId="0" xfId="0" applyNumberFormat="1"/>
    <xf numFmtId="8" fontId="0" fillId="2" borderId="0" xfId="1" applyNumberFormat="1" applyFont="1" applyFill="1"/>
    <xf numFmtId="165" fontId="0" fillId="2" borderId="0" xfId="2" applyNumberFormat="1" applyFont="1" applyFill="1"/>
    <xf numFmtId="0" fontId="0" fillId="2" borderId="0" xfId="0" applyFill="1"/>
    <xf numFmtId="164" fontId="0" fillId="2" borderId="0" xfId="2" applyNumberFormat="1" applyFont="1" applyFill="1"/>
    <xf numFmtId="166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" sqref="C1"/>
    </sheetView>
  </sheetViews>
  <sheetFormatPr defaultColWidth="21.42578125" defaultRowHeight="15" x14ac:dyDescent="0.25"/>
  <cols>
    <col min="1" max="1" width="21.42578125" customWidth="1"/>
    <col min="2" max="2" width="3.5703125" customWidth="1"/>
    <col min="3" max="3" width="23.5703125" customWidth="1"/>
    <col min="4" max="4" width="10.7109375" customWidth="1"/>
  </cols>
  <sheetData>
    <row r="1" spans="1:4" x14ac:dyDescent="0.25">
      <c r="A1" t="s">
        <v>0</v>
      </c>
      <c r="C1" t="s">
        <v>1</v>
      </c>
    </row>
    <row r="2" spans="1:4" x14ac:dyDescent="0.25">
      <c r="A2" s="5">
        <v>3000</v>
      </c>
      <c r="C2" s="3">
        <f>C10+A6</f>
        <v>25499.003848112781</v>
      </c>
    </row>
    <row r="3" spans="1:4" x14ac:dyDescent="0.25">
      <c r="A3" t="s">
        <v>2</v>
      </c>
      <c r="C3" t="s">
        <v>3</v>
      </c>
    </row>
    <row r="4" spans="1:4" x14ac:dyDescent="0.25">
      <c r="A4" s="5">
        <v>1500</v>
      </c>
      <c r="C4" s="5">
        <v>-410</v>
      </c>
    </row>
    <row r="5" spans="1:4" x14ac:dyDescent="0.25">
      <c r="A5" t="s">
        <v>4</v>
      </c>
      <c r="C5" t="s">
        <v>8</v>
      </c>
      <c r="D5" s="1" t="s">
        <v>7</v>
      </c>
    </row>
    <row r="6" spans="1:4" x14ac:dyDescent="0.25">
      <c r="A6" s="5">
        <f>A2+A4</f>
        <v>4500</v>
      </c>
      <c r="C6" s="6">
        <f>D6/12</f>
        <v>5.3429416666666667E-3</v>
      </c>
      <c r="D6" s="8">
        <v>6.41153E-2</v>
      </c>
    </row>
    <row r="7" spans="1:4" x14ac:dyDescent="0.25">
      <c r="C7" t="s">
        <v>5</v>
      </c>
    </row>
    <row r="8" spans="1:4" x14ac:dyDescent="0.25">
      <c r="C8" s="7">
        <v>60</v>
      </c>
    </row>
    <row r="9" spans="1:4" x14ac:dyDescent="0.25">
      <c r="C9" t="s">
        <v>6</v>
      </c>
    </row>
    <row r="10" spans="1:4" x14ac:dyDescent="0.25">
      <c r="C10" s="5">
        <f>PV(C6,C8,C4)</f>
        <v>20999.003848112781</v>
      </c>
    </row>
  </sheetData>
  <pageMargins left="0.7" right="0.7" top="0.75" bottom="0.75" header="0.3" footer="0.3"/>
  <pageSetup orientation="portrait" horizontalDpi="96" verticalDpi="96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cols>
    <col min="1" max="1" width="21.42578125" customWidth="1"/>
    <col min="2" max="2" width="3.5703125" customWidth="1"/>
    <col min="3" max="3" width="23.5703125" customWidth="1"/>
    <col min="4" max="4" width="10.7109375" customWidth="1"/>
  </cols>
  <sheetData>
    <row r="1" spans="1:4" x14ac:dyDescent="0.25">
      <c r="A1" t="s">
        <v>0</v>
      </c>
      <c r="C1" t="s">
        <v>1</v>
      </c>
    </row>
    <row r="2" spans="1:4" x14ac:dyDescent="0.25">
      <c r="A2" s="5">
        <v>3000</v>
      </c>
      <c r="C2" s="5">
        <v>25499</v>
      </c>
    </row>
    <row r="3" spans="1:4" x14ac:dyDescent="0.25">
      <c r="A3" t="s">
        <v>2</v>
      </c>
      <c r="C3" t="s">
        <v>3</v>
      </c>
    </row>
    <row r="4" spans="1:4" x14ac:dyDescent="0.25">
      <c r="A4" s="5">
        <v>1500</v>
      </c>
      <c r="C4" s="5">
        <v>-410</v>
      </c>
    </row>
    <row r="5" spans="1:4" x14ac:dyDescent="0.25">
      <c r="A5" t="s">
        <v>4</v>
      </c>
      <c r="C5" t="s">
        <v>8</v>
      </c>
      <c r="D5" s="1" t="s">
        <v>7</v>
      </c>
    </row>
    <row r="6" spans="1:4" x14ac:dyDescent="0.25">
      <c r="A6" s="5">
        <f>A2+A4</f>
        <v>4500</v>
      </c>
      <c r="C6" s="4">
        <f>RATE(C8,C4,C10)</f>
        <v>5.3429480404499369E-3</v>
      </c>
      <c r="D6" s="9">
        <f>C6*12</f>
        <v>6.411537648539925E-2</v>
      </c>
    </row>
    <row r="7" spans="1:4" x14ac:dyDescent="0.25">
      <c r="C7" t="s">
        <v>5</v>
      </c>
    </row>
    <row r="8" spans="1:4" x14ac:dyDescent="0.25">
      <c r="C8" s="7">
        <v>60</v>
      </c>
    </row>
    <row r="9" spans="1:4" x14ac:dyDescent="0.25">
      <c r="C9" t="s">
        <v>6</v>
      </c>
    </row>
    <row r="10" spans="1:4" x14ac:dyDescent="0.25">
      <c r="C10" s="5">
        <f>C2-A6</f>
        <v>20999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6" sqref="D6"/>
    </sheetView>
  </sheetViews>
  <sheetFormatPr defaultRowHeight="15" x14ac:dyDescent="0.25"/>
  <cols>
    <col min="1" max="1" width="21.42578125" customWidth="1"/>
    <col min="2" max="2" width="3.5703125" customWidth="1"/>
    <col min="3" max="3" width="23.5703125" customWidth="1"/>
    <col min="4" max="4" width="10.7109375" customWidth="1"/>
  </cols>
  <sheetData>
    <row r="1" spans="1:4" x14ac:dyDescent="0.25">
      <c r="A1" t="s">
        <v>0</v>
      </c>
      <c r="C1" t="s">
        <v>1</v>
      </c>
    </row>
    <row r="2" spans="1:4" x14ac:dyDescent="0.25">
      <c r="A2" s="5">
        <v>3000</v>
      </c>
      <c r="C2" s="5">
        <v>25499</v>
      </c>
    </row>
    <row r="3" spans="1:4" x14ac:dyDescent="0.25">
      <c r="A3" t="s">
        <v>2</v>
      </c>
      <c r="C3" t="s">
        <v>3</v>
      </c>
    </row>
    <row r="4" spans="1:4" x14ac:dyDescent="0.25">
      <c r="A4" s="5">
        <v>1500</v>
      </c>
      <c r="C4" s="3">
        <f>PMT(C6,C8,C10)</f>
        <v>-410.00000000000182</v>
      </c>
    </row>
    <row r="5" spans="1:4" x14ac:dyDescent="0.25">
      <c r="A5" t="s">
        <v>4</v>
      </c>
      <c r="C5" t="s">
        <v>8</v>
      </c>
      <c r="D5" s="1" t="s">
        <v>7</v>
      </c>
    </row>
    <row r="6" spans="1:4" x14ac:dyDescent="0.25">
      <c r="A6" s="5">
        <f>A2+A4</f>
        <v>4500</v>
      </c>
      <c r="C6" s="6">
        <f>D6/12</f>
        <v>5.3429480404499378E-3</v>
      </c>
      <c r="D6" s="8">
        <v>6.411537648539925E-2</v>
      </c>
    </row>
    <row r="7" spans="1:4" x14ac:dyDescent="0.25">
      <c r="C7" t="s">
        <v>5</v>
      </c>
    </row>
    <row r="8" spans="1:4" x14ac:dyDescent="0.25">
      <c r="C8" s="7">
        <v>60</v>
      </c>
    </row>
    <row r="9" spans="1:4" x14ac:dyDescent="0.25">
      <c r="C9" t="s">
        <v>6</v>
      </c>
    </row>
    <row r="10" spans="1:4" x14ac:dyDescent="0.25">
      <c r="C10" s="5">
        <f>C2-A6</f>
        <v>20999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5" x14ac:dyDescent="0.25"/>
  <cols>
    <col min="1" max="1" width="21.42578125" bestFit="1" customWidth="1"/>
    <col min="2" max="2" width="3.5703125" customWidth="1"/>
    <col min="3" max="3" width="23.5703125" customWidth="1"/>
    <col min="4" max="4" width="10.7109375" customWidth="1"/>
  </cols>
  <sheetData>
    <row r="1" spans="1:4" x14ac:dyDescent="0.25">
      <c r="A1" t="s">
        <v>0</v>
      </c>
      <c r="C1" t="s">
        <v>1</v>
      </c>
    </row>
    <row r="2" spans="1:4" x14ac:dyDescent="0.25">
      <c r="A2" s="5">
        <v>3000</v>
      </c>
      <c r="C2" s="5">
        <v>25499</v>
      </c>
    </row>
    <row r="3" spans="1:4" x14ac:dyDescent="0.25">
      <c r="A3" t="s">
        <v>2</v>
      </c>
      <c r="C3" t="s">
        <v>3</v>
      </c>
    </row>
    <row r="4" spans="1:4" x14ac:dyDescent="0.25">
      <c r="A4" s="5">
        <v>1500</v>
      </c>
      <c r="C4" s="5">
        <v>-410</v>
      </c>
    </row>
    <row r="5" spans="1:4" x14ac:dyDescent="0.25">
      <c r="A5" t="s">
        <v>4</v>
      </c>
      <c r="C5" t="s">
        <v>8</v>
      </c>
      <c r="D5" s="2" t="s">
        <v>7</v>
      </c>
    </row>
    <row r="6" spans="1:4" x14ac:dyDescent="0.25">
      <c r="A6" s="5">
        <f>A2+A4</f>
        <v>4500</v>
      </c>
      <c r="C6" s="6">
        <f>D6/12</f>
        <v>5.3429480404499378E-3</v>
      </c>
      <c r="D6" s="8">
        <v>6.411537648539925E-2</v>
      </c>
    </row>
    <row r="7" spans="1:4" x14ac:dyDescent="0.25">
      <c r="C7" t="s">
        <v>5</v>
      </c>
    </row>
    <row r="8" spans="1:4" x14ac:dyDescent="0.25">
      <c r="C8">
        <f>NPER(C6,C4,C10)</f>
        <v>60.000000000000959</v>
      </c>
    </row>
    <row r="9" spans="1:4" x14ac:dyDescent="0.25">
      <c r="C9" t="s">
        <v>6</v>
      </c>
    </row>
    <row r="10" spans="1:4" x14ac:dyDescent="0.25">
      <c r="C10" s="5">
        <f>C2-A6</f>
        <v>20999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Solve for price</vt:lpstr>
      <vt:lpstr>Solve for interest rate</vt:lpstr>
      <vt:lpstr>Solve for payment</vt:lpstr>
      <vt:lpstr>Solve for number of payments</vt:lpstr>
    </vt:vector>
  </TitlesOfParts>
  <Company>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Rich Hamilton</cp:lastModifiedBy>
  <dcterms:created xsi:type="dcterms:W3CDTF">2009-09-23T22:43:06Z</dcterms:created>
  <dcterms:modified xsi:type="dcterms:W3CDTF">2019-03-18T06:16:20Z</dcterms:modified>
</cp:coreProperties>
</file>